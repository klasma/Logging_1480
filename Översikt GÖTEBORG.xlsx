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46218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s="2" t="inlineStr">
        <is>
          <t>Ask
Skogsalm
Vattenstånds
Åkerrödtoppa
Strutbräken
Underviol
Vanlig groda
Gullviva</t>
        </is>
      </c>
      <c r="V2">
        <f>HYPERLINK("https://klasma.github.io/Logging_1480/artfynd/A 38162-2025 artfynd.xlsx", "A 38162-2025")</f>
        <v/>
      </c>
      <c r="W2">
        <f>HYPERLINK("https://klasma.github.io/Logging_1480/kartor/A 38162-2025 karta.png", "A 38162-2025")</f>
        <v/>
      </c>
      <c r="Y2">
        <f>HYPERLINK("https://klasma.github.io/Logging_1480/klagomål/A 38162-2025 FSC-klagomål.docx", "A 38162-2025")</f>
        <v/>
      </c>
      <c r="Z2">
        <f>HYPERLINK("https://klasma.github.io/Logging_1480/klagomålsmail/A 38162-2025 FSC-klagomål mail.docx", "A 38162-2025")</f>
        <v/>
      </c>
      <c r="AA2">
        <f>HYPERLINK("https://klasma.github.io/Logging_1480/tillsyn/A 38162-2025 tillsynsbegäran.docx", "A 38162-2025")</f>
        <v/>
      </c>
      <c r="AB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46218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Naggbjörnbär
Älg</t>
        </is>
      </c>
      <c r="V3">
        <f>HYPERLINK("https://klasma.github.io/Logging_1480/artfynd/A 19922-2025 artfynd.xlsx", "A 19922-2025")</f>
        <v/>
      </c>
      <c r="W3">
        <f>HYPERLINK("https://klasma.github.io/Logging_1480/kartor/A 19922-2025 karta.png", "A 19922-2025")</f>
        <v/>
      </c>
      <c r="Y3">
        <f>HYPERLINK("https://klasma.github.io/Logging_1480/klagomål/A 19922-2025 FSC-klagomål.docx", "A 19922-2025")</f>
        <v/>
      </c>
      <c r="Z3">
        <f>HYPERLINK("https://klasma.github.io/Logging_1480/klagomålsmail/A 19922-2025 FSC-klagomål mail.docx", "A 19922-2025")</f>
        <v/>
      </c>
      <c r="AA3">
        <f>HYPERLINK("https://klasma.github.io/Logging_1480/tillsyn/A 19922-2025 tillsynsbegäran.docx", "A 19922-2025")</f>
        <v/>
      </c>
      <c r="AB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46218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Revlummer</t>
        </is>
      </c>
      <c r="V4">
        <f>HYPERLINK("https://klasma.github.io/Logging_1480/artfynd/A 62884-2021 artfynd.xlsx", "A 62884-2021")</f>
        <v/>
      </c>
      <c r="W4">
        <f>HYPERLINK("https://klasma.github.io/Logging_1480/kartor/A 62884-2021 karta.png", "A 62884-2021")</f>
        <v/>
      </c>
      <c r="Y4">
        <f>HYPERLINK("https://klasma.github.io/Logging_1480/klagomål/A 62884-2021 FSC-klagomål.docx", "A 62884-2021")</f>
        <v/>
      </c>
      <c r="Z4">
        <f>HYPERLINK("https://klasma.github.io/Logging_1480/klagomålsmail/A 62884-2021 FSC-klagomål mail.docx", "A 62884-2021")</f>
        <v/>
      </c>
      <c r="AA4">
        <f>HYPERLINK("https://klasma.github.io/Logging_1480/tillsyn/A 62884-2021 tillsynsbegäran.docx", "A 62884-2021")</f>
        <v/>
      </c>
      <c r="AB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46218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s="2" t="inlineStr">
        <is>
          <t>Hasselsnok</t>
        </is>
      </c>
      <c r="V5">
        <f>HYPERLINK("https://klasma.github.io/Logging_1480/artfynd/A 37011-2022 artfynd.xlsx", "A 37011-2022")</f>
        <v/>
      </c>
      <c r="W5">
        <f>HYPERLINK("https://klasma.github.io/Logging_1480/kartor/A 37011-2022 karta.png", "A 37011-2022")</f>
        <v/>
      </c>
      <c r="Y5">
        <f>HYPERLINK("https://klasma.github.io/Logging_1480/klagomål/A 37011-2022 FSC-klagomål.docx", "A 37011-2022")</f>
        <v/>
      </c>
      <c r="Z5">
        <f>HYPERLINK("https://klasma.github.io/Logging_1480/klagomålsmail/A 37011-2022 FSC-klagomål mail.docx", "A 37011-2022")</f>
        <v/>
      </c>
      <c r="AA5">
        <f>HYPERLINK("https://klasma.github.io/Logging_1480/tillsyn/A 37011-2022 tillsynsbegäran.docx", "A 37011-2022")</f>
        <v/>
      </c>
      <c r="AB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46218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Större vattensalamander</t>
        </is>
      </c>
      <c r="V6">
        <f>HYPERLINK("https://klasma.github.io/Logging_1480/artfynd/A 3402-2026 artfynd.xlsx", "A 3402-2026")</f>
        <v/>
      </c>
      <c r="W6">
        <f>HYPERLINK("https://klasma.github.io/Logging_1480/kartor/A 3402-2026 karta.png", "A 3402-2026")</f>
        <v/>
      </c>
      <c r="Y6">
        <f>HYPERLINK("https://klasma.github.io/Logging_1480/klagomål/A 3402-2026 FSC-klagomål.docx", "A 3402-2026")</f>
        <v/>
      </c>
      <c r="Z6">
        <f>HYPERLINK("https://klasma.github.io/Logging_1480/klagomålsmail/A 3402-2026 FSC-klagomål mail.docx", "A 3402-2026")</f>
        <v/>
      </c>
      <c r="AA6">
        <f>HYPERLINK("https://klasma.github.io/Logging_1480/tillsyn/A 3402-2026 tillsynsbegäran.docx", "A 3402-2026")</f>
        <v/>
      </c>
      <c r="AB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46218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46218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46218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60024-2025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45992</v>
      </c>
      <c r="E10" s="1" t="n">
        <v>46218</v>
      </c>
      <c r="F10" t="inlineStr">
        <is>
          <t>VÄSTRA GÖTALANDS LÄN</t>
        </is>
      </c>
      <c r="G10" t="inlineStr">
        <is>
          <t>GÖTEBORG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>
      <c r="A11" t="inlineStr">
        <is>
          <t>A 27573-2026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46190</v>
      </c>
      <c r="E11" s="1" t="n">
        <v>46218</v>
      </c>
      <c r="F11" t="inlineStr">
        <is>
          <t>VÄSTRA GÖTALANDS LÄN</t>
        </is>
      </c>
      <c r="G11" t="inlineStr">
        <is>
          <t>GÖTEBORG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2026-07-15T01:23:03Z</dcterms:created>
  <dcterms:modified xmlns:dcterms="http://purl.org/dc/terms/" xmlns:xsi="http://www.w3.org/2001/XMLSchema-instance" xsi:type="dcterms:W3CDTF">2026-07-15T01:23:03Z</dcterms:modified>
</cp:coreProperties>
</file>