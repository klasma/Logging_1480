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38162-2025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45882</v>
      </c>
      <c r="E2" s="1" t="n">
        <v>46318</v>
      </c>
      <c r="F2" t="inlineStr">
        <is>
          <t>VÄSTRA GÖTALANDS LÄN</t>
        </is>
      </c>
      <c r="G2" t="inlineStr">
        <is>
          <t>GÖTEBORG</t>
        </is>
      </c>
      <c r="I2" t="n">
        <v>5.1</v>
      </c>
      <c r="J2" t="n">
        <v>2</v>
      </c>
      <c r="K2" t="n">
        <v>2</v>
      </c>
      <c r="L2" t="n">
        <v>1</v>
      </c>
      <c r="M2" t="n">
        <v>1</v>
      </c>
      <c r="N2" t="n">
        <v>2</v>
      </c>
      <c r="O2" t="n">
        <v>0</v>
      </c>
      <c r="P2" t="n">
        <v>0</v>
      </c>
      <c r="Q2" t="n">
        <v>4</v>
      </c>
      <c r="R2" t="n">
        <v>3</v>
      </c>
      <c r="S2" t="n">
        <v>8</v>
      </c>
      <c r="T2" t="n">
        <v>12</v>
      </c>
      <c r="U2" t="n">
        <v>2</v>
      </c>
      <c r="V2" s="2" t="inlineStr">
        <is>
          <t>Ask
Skogsalm
Vattenstånds
Åkerrödtoppa
Strutbräken
Underviol
Vanlig groda
Gullviva</t>
        </is>
      </c>
      <c r="W2">
        <f>HYPERLINK("https://klasma.github.io/Logging_1480/artfynd/A 38162-2025 artfynd.xlsx", "A 38162-2025")</f>
        <v/>
      </c>
      <c r="X2">
        <f>HYPERLINK("https://klasma.github.io/Logging_1480/kartor/A 38162-2025 karta.png", "A 38162-2025")</f>
        <v/>
      </c>
      <c r="Y2">
        <f>HYPERLINK("https://klasma.github.io/Logging_1480/kartor_geotiff/A 38162-2025 georefererad karta.tif", "A 38162-2025")</f>
        <v/>
      </c>
      <c r="AA2">
        <f>HYPERLINK("https://klasma.github.io/Logging_1480/klagomål/A 38162-2025 FSC-klagomål.docx", "A 38162-2025")</f>
        <v/>
      </c>
      <c r="AB2">
        <f>HYPERLINK("https://klasma.github.io/Logging_1480/klagomålsmail/A 38162-2025 FSC-klagomål mail.docx", "A 38162-2025")</f>
        <v/>
      </c>
      <c r="AC2">
        <f>HYPERLINK("https://klasma.github.io/Logging_1480/tillsyn/A 38162-2025 tillsynsbegäran.docx", "A 38162-2025")</f>
        <v/>
      </c>
      <c r="AD2">
        <f>HYPERLINK("https://klasma.github.io/Logging_1480/tillsynsmail/A 38162-2025 tillsynsbegäran mail.docx", "A 38162-2025")</f>
        <v/>
      </c>
    </row>
    <row r="3" ht="15" customHeight="1">
      <c r="A3" t="inlineStr">
        <is>
          <t>A 19922-2025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45771</v>
      </c>
      <c r="E3" s="1" t="n">
        <v>46318</v>
      </c>
      <c r="F3" t="inlineStr">
        <is>
          <t>VÄSTRA GÖTALANDS LÄN</t>
        </is>
      </c>
      <c r="G3" t="inlineStr">
        <is>
          <t>GÖTEBORG</t>
        </is>
      </c>
      <c r="I3" t="n">
        <v>10.1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2</v>
      </c>
      <c r="T3" t="n">
        <v>2</v>
      </c>
      <c r="U3" t="n">
        <v>0</v>
      </c>
      <c r="V3" s="2" t="inlineStr">
        <is>
          <t>Naggbjörnbär
Älg</t>
        </is>
      </c>
      <c r="W3">
        <f>HYPERLINK("https://klasma.github.io/Logging_1480/artfynd/A 19922-2025 artfynd.xlsx", "A 19922-2025")</f>
        <v/>
      </c>
      <c r="X3">
        <f>HYPERLINK("https://klasma.github.io/Logging_1480/kartor/A 19922-2025 karta.png", "A 19922-2025")</f>
        <v/>
      </c>
      <c r="Y3">
        <f>HYPERLINK("https://klasma.github.io/Logging_1480/kartor_geotiff/A 19922-2025 georefererad karta.tif", "A 19922-2025")</f>
        <v/>
      </c>
      <c r="AA3">
        <f>HYPERLINK("https://klasma.github.io/Logging_1480/klagomål/A 19922-2025 FSC-klagomål.docx", "A 19922-2025")</f>
        <v/>
      </c>
      <c r="AB3">
        <f>HYPERLINK("https://klasma.github.io/Logging_1480/klagomålsmail/A 19922-2025 FSC-klagomål mail.docx", "A 19922-2025")</f>
        <v/>
      </c>
      <c r="AC3">
        <f>HYPERLINK("https://klasma.github.io/Logging_1480/tillsyn/A 19922-2025 tillsynsbegäran.docx", "A 19922-2025")</f>
        <v/>
      </c>
      <c r="AD3">
        <f>HYPERLINK("https://klasma.github.io/Logging_1480/tillsynsmail/A 19922-2025 tillsynsbegäran mail.docx", "A 19922-2025")</f>
        <v/>
      </c>
    </row>
    <row r="4" ht="15" customHeight="1">
      <c r="A4" t="inlineStr">
        <is>
          <t>A 62884-2021</t>
        </is>
      </c>
      <c r="B4" t="inlineStr">
        <is>
          <t>avverkningsanmälan</t>
        </is>
      </c>
      <c r="C4" t="inlineStr">
        <is>
          <t>Avverkning för annat ändamål</t>
        </is>
      </c>
      <c r="D4" s="1" t="n">
        <v>44504</v>
      </c>
      <c r="E4" s="1" t="n">
        <v>46318</v>
      </c>
      <c r="F4" t="inlineStr">
        <is>
          <t>VÄSTRA GÖTALANDS LÄN</t>
        </is>
      </c>
      <c r="G4" t="inlineStr">
        <is>
          <t>GÖTEBORG</t>
        </is>
      </c>
      <c r="I4" t="n">
        <v>0.8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s="2" t="inlineStr">
        <is>
          <t>Revlummer</t>
        </is>
      </c>
      <c r="W4">
        <f>HYPERLINK("https://klasma.github.io/Logging_1480/artfynd/A 62884-2021 artfynd.xlsx", "A 62884-2021")</f>
        <v/>
      </c>
      <c r="X4">
        <f>HYPERLINK("https://klasma.github.io/Logging_1480/kartor/A 62884-2021 karta.png", "A 62884-2021")</f>
        <v/>
      </c>
      <c r="Y4">
        <f>HYPERLINK("https://klasma.github.io/Logging_1480/kartor_geotiff/A 62884-2021 georefererad karta.tif", "A 62884-2021")</f>
        <v/>
      </c>
      <c r="AA4">
        <f>HYPERLINK("https://klasma.github.io/Logging_1480/klagomål/A 62884-2021 FSC-klagomål.docx", "A 62884-2021")</f>
        <v/>
      </c>
      <c r="AB4">
        <f>HYPERLINK("https://klasma.github.io/Logging_1480/klagomålsmail/A 62884-2021 FSC-klagomål mail.docx", "A 62884-2021")</f>
        <v/>
      </c>
      <c r="AC4">
        <f>HYPERLINK("https://klasma.github.io/Logging_1480/tillsyn/A 62884-2021 tillsynsbegäran.docx", "A 62884-2021")</f>
        <v/>
      </c>
      <c r="AD4">
        <f>HYPERLINK("https://klasma.github.io/Logging_1480/tillsynsmail/A 62884-2021 tillsynsbegäran mail.docx", "A 62884-2021")</f>
        <v/>
      </c>
    </row>
    <row r="5" ht="15" customHeight="1">
      <c r="A5" t="inlineStr">
        <is>
          <t>A 37011-2022</t>
        </is>
      </c>
      <c r="B5" t="inlineStr">
        <is>
          <t>avverkningsanmälan</t>
        </is>
      </c>
      <c r="C5" t="inlineStr">
        <is>
          <t>Avverkning för annat ändamål</t>
        </is>
      </c>
      <c r="D5" s="1" t="n">
        <v>44806</v>
      </c>
      <c r="E5" s="1" t="n">
        <v>46318</v>
      </c>
      <c r="F5" t="inlineStr">
        <is>
          <t>VÄSTRA GÖTALANDS LÄN</t>
        </is>
      </c>
      <c r="G5" t="inlineStr">
        <is>
          <t>GÖTEBORG</t>
        </is>
      </c>
      <c r="I5" t="n">
        <v>2.9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3</v>
      </c>
      <c r="U5" t="n">
        <v>3</v>
      </c>
      <c r="V5" s="2" t="inlineStr">
        <is>
          <t>Hasselsnok</t>
        </is>
      </c>
      <c r="W5">
        <f>HYPERLINK("https://klasma.github.io/Logging_1480/artfynd/A 37011-2022 artfynd.xlsx", "A 37011-2022")</f>
        <v/>
      </c>
      <c r="X5">
        <f>HYPERLINK("https://klasma.github.io/Logging_1480/kartor/A 37011-2022 karta.png", "A 37011-2022")</f>
        <v/>
      </c>
      <c r="Y5">
        <f>HYPERLINK("https://klasma.github.io/Logging_1480/kartor_geotiff/A 37011-2022 georefererad karta.tif", "A 37011-2022")</f>
        <v/>
      </c>
      <c r="AA5">
        <f>HYPERLINK("https://klasma.github.io/Logging_1480/klagomål/A 37011-2022 FSC-klagomål.docx", "A 37011-2022")</f>
        <v/>
      </c>
      <c r="AB5">
        <f>HYPERLINK("https://klasma.github.io/Logging_1480/klagomålsmail/A 37011-2022 FSC-klagomål mail.docx", "A 37011-2022")</f>
        <v/>
      </c>
      <c r="AC5">
        <f>HYPERLINK("https://klasma.github.io/Logging_1480/tillsyn/A 37011-2022 tillsynsbegäran.docx", "A 37011-2022")</f>
        <v/>
      </c>
      <c r="AD5">
        <f>HYPERLINK("https://klasma.github.io/Logging_1480/tillsynsmail/A 37011-2022 tillsynsbegäran mail.docx", "A 37011-2022")</f>
        <v/>
      </c>
    </row>
    <row r="6" ht="15" customHeight="1">
      <c r="A6" t="inlineStr">
        <is>
          <t>A 3402-2026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46042</v>
      </c>
      <c r="E6" s="1" t="n">
        <v>46318</v>
      </c>
      <c r="F6" t="inlineStr">
        <is>
          <t>VÄSTRA GÖTALANDS LÄN</t>
        </is>
      </c>
      <c r="G6" t="inlineStr">
        <is>
          <t>GÖTEBORG</t>
        </is>
      </c>
      <c r="I6" t="n">
        <v>5.5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s="2" t="inlineStr">
        <is>
          <t>Större vattensalamander</t>
        </is>
      </c>
      <c r="W6">
        <f>HYPERLINK("https://klasma.github.io/Logging_1480/artfynd/A 3402-2026 artfynd.xlsx", "A 3402-2026")</f>
        <v/>
      </c>
      <c r="X6">
        <f>HYPERLINK("https://klasma.github.io/Logging_1480/kartor/A 3402-2026 karta.png", "A 3402-2026")</f>
        <v/>
      </c>
      <c r="Y6">
        <f>HYPERLINK("https://klasma.github.io/Logging_1480/kartor_geotiff/A 3402-2026 georefererad karta.tif", "A 3402-2026")</f>
        <v/>
      </c>
      <c r="AA6">
        <f>HYPERLINK("https://klasma.github.io/Logging_1480/klagomål/A 3402-2026 FSC-klagomål.docx", "A 3402-2026")</f>
        <v/>
      </c>
      <c r="AB6">
        <f>HYPERLINK("https://klasma.github.io/Logging_1480/klagomålsmail/A 3402-2026 FSC-klagomål mail.docx", "A 3402-2026")</f>
        <v/>
      </c>
      <c r="AC6">
        <f>HYPERLINK("https://klasma.github.io/Logging_1480/tillsyn/A 3402-2026 tillsynsbegäran.docx", "A 3402-2026")</f>
        <v/>
      </c>
      <c r="AD6">
        <f>HYPERLINK("https://klasma.github.io/Logging_1480/tillsynsmail/A 3402-2026 tillsynsbegäran mail.docx", "A 3402-2026")</f>
        <v/>
      </c>
    </row>
    <row r="7" ht="15" customHeight="1">
      <c r="A7" t="inlineStr">
        <is>
          <t>A 10390-2022</t>
        </is>
      </c>
      <c r="B7" t="inlineStr">
        <is>
          <t>avverkningsanmälan</t>
        </is>
      </c>
      <c r="C7" t="inlineStr">
        <is>
          <t>Avverkning för annat ändamål</t>
        </is>
      </c>
      <c r="D7" s="1" t="n">
        <v>44623</v>
      </c>
      <c r="E7" s="1" t="n">
        <v>46318</v>
      </c>
      <c r="F7" t="inlineStr">
        <is>
          <t>VÄSTRA GÖTALANDS LÄN</t>
        </is>
      </c>
      <c r="G7" t="inlineStr">
        <is>
          <t>GÖTEBORG</t>
        </is>
      </c>
      <c r="I7" t="n">
        <v>0.7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s="2" t="inlineStr"/>
    </row>
    <row r="8" ht="15" customHeight="1">
      <c r="A8" t="inlineStr">
        <is>
          <t>A 28266-2025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45818</v>
      </c>
      <c r="E8" s="1" t="n">
        <v>46318</v>
      </c>
      <c r="F8" t="inlineStr">
        <is>
          <t>VÄSTRA GÖTALANDS LÄN</t>
        </is>
      </c>
      <c r="G8" t="inlineStr">
        <is>
          <t>GÖTEBORG</t>
        </is>
      </c>
      <c r="I8" t="n">
        <v>1.9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s="2" t="inlineStr"/>
    </row>
    <row r="9" ht="15" customHeight="1">
      <c r="A9" t="inlineStr">
        <is>
          <t>A 27573-2026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46190</v>
      </c>
      <c r="E9" s="1" t="n">
        <v>46318</v>
      </c>
      <c r="F9" t="inlineStr">
        <is>
          <t>VÄSTRA GÖTALANDS LÄN</t>
        </is>
      </c>
      <c r="G9" t="inlineStr">
        <is>
          <t>GÖTEBORG</t>
        </is>
      </c>
      <c r="I9" t="n">
        <v>2.6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s="2" t="inlineStr"/>
    </row>
    <row r="10">
      <c r="A10" t="inlineStr">
        <is>
          <t>A 25015-2023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45085</v>
      </c>
      <c r="E10" s="1" t="n">
        <v>46318</v>
      </c>
      <c r="F10" t="inlineStr">
        <is>
          <t>VÄSTRA GÖTALANDS LÄN</t>
        </is>
      </c>
      <c r="G10" t="inlineStr">
        <is>
          <t>GÖTEBORG</t>
        </is>
      </c>
      <c r="I10" t="n">
        <v>1.8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2026-10-23T02:03:47Z</dcterms:created>
  <dcterms:modified xmlns:dcterms="http://purl.org/dc/terms/" xmlns:xsi="http://www.w3.org/2001/XMLSchema-instance" xsi:type="dcterms:W3CDTF">2026-10-23T02:03:47Z</dcterms:modified>
</cp:coreProperties>
</file>