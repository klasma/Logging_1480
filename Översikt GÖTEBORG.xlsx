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38162-2025</t>
        </is>
      </c>
      <c r="B2" s="1" t="n">
        <v>45882</v>
      </c>
      <c r="C2" s="1" t="n">
        <v>46205</v>
      </c>
      <c r="D2" t="inlineStr">
        <is>
          <t>VÄSTRA GÖTALANDS LÄN</t>
        </is>
      </c>
      <c r="E2" t="inlineStr">
        <is>
          <t>GÖTEBORG</t>
        </is>
      </c>
      <c r="G2" t="n">
        <v>5.1</v>
      </c>
      <c r="H2" t="n">
        <v>2</v>
      </c>
      <c r="I2" t="n">
        <v>2</v>
      </c>
      <c r="J2" t="n">
        <v>1</v>
      </c>
      <c r="K2" t="n">
        <v>1</v>
      </c>
      <c r="L2" t="n">
        <v>2</v>
      </c>
      <c r="M2" t="n">
        <v>0</v>
      </c>
      <c r="N2" t="n">
        <v>0</v>
      </c>
      <c r="O2" t="n">
        <v>4</v>
      </c>
      <c r="P2" t="n">
        <v>3</v>
      </c>
      <c r="Q2" t="n">
        <v>8</v>
      </c>
      <c r="R2" s="2" t="inlineStr">
        <is>
          <t>Ask
Skogsalm
Vattenstånds
Åkerrödtoppa
Strutbräken
Underviol
Vanlig groda
Gullviva</t>
        </is>
      </c>
      <c r="S2">
        <f>HYPERLINK("https://klasma.github.io/Logging_1480/artfynd/A 38162-2025 artfynd.xlsx", "A 38162-2025")</f>
        <v/>
      </c>
      <c r="T2">
        <f>HYPERLINK("https://klasma.github.io/Logging_1480/kartor/A 38162-2025 karta.png", "A 38162-2025")</f>
        <v/>
      </c>
      <c r="V2">
        <f>HYPERLINK("https://klasma.github.io/Logging_1480/klagomål/A 38162-2025 FSC-klagomål.docx", "A 38162-2025")</f>
        <v/>
      </c>
      <c r="W2">
        <f>HYPERLINK("https://klasma.github.io/Logging_1480/klagomålsmail/A 38162-2025 FSC-klagomål mail.docx", "A 38162-2025")</f>
        <v/>
      </c>
      <c r="X2">
        <f>HYPERLINK("https://klasma.github.io/Logging_1480/tillsyn/A 38162-2025 tillsynsbegäran.docx", "A 38162-2025")</f>
        <v/>
      </c>
      <c r="Y2">
        <f>HYPERLINK("https://klasma.github.io/Logging_1480/tillsynsmail/A 38162-2025 tillsynsbegäran mail.docx", "A 38162-2025")</f>
        <v/>
      </c>
    </row>
    <row r="3" ht="15" customHeight="1">
      <c r="A3" t="inlineStr">
        <is>
          <t>A 19922-2025</t>
        </is>
      </c>
      <c r="B3" s="1" t="n">
        <v>45771</v>
      </c>
      <c r="C3" s="1" t="n">
        <v>46205</v>
      </c>
      <c r="D3" t="inlineStr">
        <is>
          <t>VÄSTRA GÖTALANDS LÄN</t>
        </is>
      </c>
      <c r="E3" t="inlineStr">
        <is>
          <t>GÖTEBORG</t>
        </is>
      </c>
      <c r="G3" t="n">
        <v>10.1</v>
      </c>
      <c r="H3" t="n">
        <v>0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2</v>
      </c>
      <c r="R3" s="2" t="inlineStr">
        <is>
          <t>Naggbjörnbär
Älg</t>
        </is>
      </c>
      <c r="S3">
        <f>HYPERLINK("https://klasma.github.io/Logging_1480/artfynd/A 19922-2025 artfynd.xlsx", "A 19922-2025")</f>
        <v/>
      </c>
      <c r="T3">
        <f>HYPERLINK("https://klasma.github.io/Logging_1480/kartor/A 19922-2025 karta.png", "A 19922-2025")</f>
        <v/>
      </c>
      <c r="V3">
        <f>HYPERLINK("https://klasma.github.io/Logging_1480/klagomål/A 19922-2025 FSC-klagomål.docx", "A 19922-2025")</f>
        <v/>
      </c>
      <c r="W3">
        <f>HYPERLINK("https://klasma.github.io/Logging_1480/klagomålsmail/A 19922-2025 FSC-klagomål mail.docx", "A 19922-2025")</f>
        <v/>
      </c>
      <c r="X3">
        <f>HYPERLINK("https://klasma.github.io/Logging_1480/tillsyn/A 19922-2025 tillsynsbegäran.docx", "A 19922-2025")</f>
        <v/>
      </c>
      <c r="Y3">
        <f>HYPERLINK("https://klasma.github.io/Logging_1480/tillsynsmail/A 19922-2025 tillsynsbegäran mail.docx", "A 19922-2025")</f>
        <v/>
      </c>
    </row>
    <row r="4" ht="15" customHeight="1">
      <c r="A4" t="inlineStr">
        <is>
          <t>A 3402-2026</t>
        </is>
      </c>
      <c r="B4" s="1" t="n">
        <v>46042</v>
      </c>
      <c r="C4" s="1" t="n">
        <v>46205</v>
      </c>
      <c r="D4" t="inlineStr">
        <is>
          <t>VÄSTRA GÖTALANDS LÄN</t>
        </is>
      </c>
      <c r="E4" t="inlineStr">
        <is>
          <t>GÖTEBORG</t>
        </is>
      </c>
      <c r="G4" t="n">
        <v>5.5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Större vattensalamander</t>
        </is>
      </c>
      <c r="S4">
        <f>HYPERLINK("https://klasma.github.io/Logging_1480/artfynd/A 3402-2026 artfynd.xlsx", "A 3402-2026")</f>
        <v/>
      </c>
      <c r="T4">
        <f>HYPERLINK("https://klasma.github.io/Logging_1480/kartor/A 3402-2026 karta.png", "A 3402-2026")</f>
        <v/>
      </c>
      <c r="V4">
        <f>HYPERLINK("https://klasma.github.io/Logging_1480/klagomål/A 3402-2026 FSC-klagomål.docx", "A 3402-2026")</f>
        <v/>
      </c>
      <c r="W4">
        <f>HYPERLINK("https://klasma.github.io/Logging_1480/klagomålsmail/A 3402-2026 FSC-klagomål mail.docx", "A 3402-2026")</f>
        <v/>
      </c>
      <c r="X4">
        <f>HYPERLINK("https://klasma.github.io/Logging_1480/tillsyn/A 3402-2026 tillsynsbegäran.docx", "A 3402-2026")</f>
        <v/>
      </c>
      <c r="Y4">
        <f>HYPERLINK("https://klasma.github.io/Logging_1480/tillsynsmail/A 3402-2026 tillsynsbegäran mail.docx", "A 3402-2026")</f>
        <v/>
      </c>
    </row>
    <row r="5" ht="15" customHeight="1">
      <c r="A5" t="inlineStr">
        <is>
          <t>A 62884-2021</t>
        </is>
      </c>
      <c r="B5" s="1" t="n">
        <v>44504</v>
      </c>
      <c r="C5" s="1" t="n">
        <v>46205</v>
      </c>
      <c r="D5" t="inlineStr">
        <is>
          <t>VÄSTRA GÖTALANDS LÄN</t>
        </is>
      </c>
      <c r="E5" t="inlineStr">
        <is>
          <t>GÖTEBORG</t>
        </is>
      </c>
      <c r="G5" t="n">
        <v>0.8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Revlummer</t>
        </is>
      </c>
      <c r="S5">
        <f>HYPERLINK("https://klasma.github.io/Logging_1480/artfynd/A 62884-2021 artfynd.xlsx", "A 62884-2021")</f>
        <v/>
      </c>
      <c r="T5">
        <f>HYPERLINK("https://klasma.github.io/Logging_1480/kartor/A 62884-2021 karta.png", "A 62884-2021")</f>
        <v/>
      </c>
      <c r="V5">
        <f>HYPERLINK("https://klasma.github.io/Logging_1480/klagomål/A 62884-2021 FSC-klagomål.docx", "A 62884-2021")</f>
        <v/>
      </c>
      <c r="W5">
        <f>HYPERLINK("https://klasma.github.io/Logging_1480/klagomålsmail/A 62884-2021 FSC-klagomål mail.docx", "A 62884-2021")</f>
        <v/>
      </c>
      <c r="X5">
        <f>HYPERLINK("https://klasma.github.io/Logging_1480/tillsyn/A 62884-2021 tillsynsbegäran.docx", "A 62884-2021")</f>
        <v/>
      </c>
      <c r="Y5">
        <f>HYPERLINK("https://klasma.github.io/Logging_1480/tillsynsmail/A 62884-2021 tillsynsbegäran mail.docx", "A 62884-2021")</f>
        <v/>
      </c>
    </row>
    <row r="6" ht="15" customHeight="1">
      <c r="A6" t="inlineStr">
        <is>
          <t>A 37011-2022</t>
        </is>
      </c>
      <c r="B6" s="1" t="n">
        <v>44806</v>
      </c>
      <c r="C6" s="1" t="n">
        <v>46205</v>
      </c>
      <c r="D6" t="inlineStr">
        <is>
          <t>VÄSTRA GÖTALANDS LÄN</t>
        </is>
      </c>
      <c r="E6" t="inlineStr">
        <is>
          <t>GÖTEBORG</t>
        </is>
      </c>
      <c r="G6" t="n">
        <v>2.9</v>
      </c>
      <c r="H6" t="n">
        <v>1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Hasselsnok</t>
        </is>
      </c>
      <c r="S6">
        <f>HYPERLINK("https://klasma.github.io/Logging_1480/artfynd/A 37011-2022 artfynd.xlsx", "A 37011-2022")</f>
        <v/>
      </c>
      <c r="T6">
        <f>HYPERLINK("https://klasma.github.io/Logging_1480/kartor/A 37011-2022 karta.png", "A 37011-2022")</f>
        <v/>
      </c>
      <c r="V6">
        <f>HYPERLINK("https://klasma.github.io/Logging_1480/klagomål/A 37011-2022 FSC-klagomål.docx", "A 37011-2022")</f>
        <v/>
      </c>
      <c r="W6">
        <f>HYPERLINK("https://klasma.github.io/Logging_1480/klagomålsmail/A 37011-2022 FSC-klagomål mail.docx", "A 37011-2022")</f>
        <v/>
      </c>
      <c r="X6">
        <f>HYPERLINK("https://klasma.github.io/Logging_1480/tillsyn/A 37011-2022 tillsynsbegäran.docx", "A 37011-2022")</f>
        <v/>
      </c>
      <c r="Y6">
        <f>HYPERLINK("https://klasma.github.io/Logging_1480/tillsynsmail/A 37011-2022 tillsynsbegäran mail.docx", "A 37011-2022")</f>
        <v/>
      </c>
    </row>
    <row r="7" ht="15" customHeight="1">
      <c r="A7" t="inlineStr">
        <is>
          <t>A 10390-2022</t>
        </is>
      </c>
      <c r="B7" s="1" t="n">
        <v>44623</v>
      </c>
      <c r="C7" s="1" t="n">
        <v>46205</v>
      </c>
      <c r="D7" t="inlineStr">
        <is>
          <t>VÄSTRA GÖTALANDS LÄN</t>
        </is>
      </c>
      <c r="E7" t="inlineStr">
        <is>
          <t>GÖTEBORG</t>
        </is>
      </c>
      <c r="G7" t="n">
        <v>0.7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25015-2023</t>
        </is>
      </c>
      <c r="B8" s="1" t="n">
        <v>45085</v>
      </c>
      <c r="C8" s="1" t="n">
        <v>46205</v>
      </c>
      <c r="D8" t="inlineStr">
        <is>
          <t>VÄSTRA GÖTALANDS LÄN</t>
        </is>
      </c>
      <c r="E8" t="inlineStr">
        <is>
          <t>GÖTEBORG</t>
        </is>
      </c>
      <c r="G8" t="n">
        <v>1.8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28266-2025</t>
        </is>
      </c>
      <c r="B9" s="1" t="n">
        <v>45818</v>
      </c>
      <c r="C9" s="1" t="n">
        <v>46205</v>
      </c>
      <c r="D9" t="inlineStr">
        <is>
          <t>VÄSTRA GÖTALANDS LÄN</t>
        </is>
      </c>
      <c r="E9" t="inlineStr">
        <is>
          <t>GÖTEBORG</t>
        </is>
      </c>
      <c r="G9" t="n">
        <v>1.9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60024-2025</t>
        </is>
      </c>
      <c r="B10" s="1" t="n">
        <v>45992</v>
      </c>
      <c r="C10" s="1" t="n">
        <v>46205</v>
      </c>
      <c r="D10" t="inlineStr">
        <is>
          <t>VÄSTRA GÖTALANDS LÄN</t>
        </is>
      </c>
      <c r="E10" t="inlineStr">
        <is>
          <t>GÖTEBORG</t>
        </is>
      </c>
      <c r="G10" t="n">
        <v>1.1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>
      <c r="A11" t="inlineStr">
        <is>
          <t>A 27573-2026</t>
        </is>
      </c>
      <c r="B11" s="1" t="n">
        <v>46190</v>
      </c>
      <c r="C11" s="1" t="n">
        <v>46205</v>
      </c>
      <c r="D11" t="inlineStr">
        <is>
          <t>VÄSTRA GÖTALANDS LÄN</t>
        </is>
      </c>
      <c r="E11" t="inlineStr">
        <is>
          <t>GÖTEBORG</t>
        </is>
      </c>
      <c r="G11" t="n">
        <v>2.6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2026-07-02T00:58:30Z</dcterms:created>
  <dcterms:modified xmlns:dcterms="http://purl.org/dc/terms/" xmlns:xsi="http://www.w3.org/2001/XMLSchema-instance" xsi:type="dcterms:W3CDTF">2026-07-02T00:58:30Z</dcterms:modified>
</cp:coreProperties>
</file>