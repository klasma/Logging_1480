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39255-2019</t>
        </is>
      </c>
      <c r="B2" s="1" t="n">
        <v>43690</v>
      </c>
      <c r="C2" s="1" t="n">
        <v>45364</v>
      </c>
      <c r="D2" t="inlineStr">
        <is>
          <t>VÄSTRA GÖTALANDS LÄN</t>
        </is>
      </c>
      <c r="E2" t="inlineStr">
        <is>
          <t>GÖTEBORG</t>
        </is>
      </c>
      <c r="G2" t="n">
        <v>17.5</v>
      </c>
      <c r="H2" t="n">
        <v>3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Stare
Entita
Gulsparv</t>
        </is>
      </c>
      <c r="S2">
        <f>HYPERLINK("https://klasma.github.io/Logging_1480/artfynd/A 39255-2019 artfynd.xlsx", "A 39255-2019")</f>
        <v/>
      </c>
      <c r="T2">
        <f>HYPERLINK("https://klasma.github.io/Logging_1480/kartor/A 39255-2019 karta.png", "A 39255-2019")</f>
        <v/>
      </c>
      <c r="V2">
        <f>HYPERLINK("https://klasma.github.io/Logging_1480/klagomål/A 39255-2019 FSC-klagomål.docx", "A 39255-2019")</f>
        <v/>
      </c>
      <c r="W2">
        <f>HYPERLINK("https://klasma.github.io/Logging_1480/klagomålsmail/A 39255-2019 FSC-klagomål mail.docx", "A 39255-2019")</f>
        <v/>
      </c>
      <c r="X2">
        <f>HYPERLINK("https://klasma.github.io/Logging_1480/tillsyn/A 39255-2019 tillsynsbegäran.docx", "A 39255-2019")</f>
        <v/>
      </c>
      <c r="Y2">
        <f>HYPERLINK("https://klasma.github.io/Logging_1480/tillsynsmail/A 39255-2019 tillsynsbegäran mail.docx", "A 39255-2019")</f>
        <v/>
      </c>
      <c r="Z2">
        <f>HYPERLINK("https://klasma.github.io/Logging_1480/fåglar/A 39255-2019 prioriterade fågelarter.docx", "A 39255-2019")</f>
        <v/>
      </c>
    </row>
    <row r="3" ht="15" customHeight="1">
      <c r="A3" t="inlineStr">
        <is>
          <t>A 58801-2020</t>
        </is>
      </c>
      <c r="B3" s="1" t="n">
        <v>44146</v>
      </c>
      <c r="C3" s="1" t="n">
        <v>45364</v>
      </c>
      <c r="D3" t="inlineStr">
        <is>
          <t>VÄSTRA GÖTALANDS LÄN</t>
        </is>
      </c>
      <c r="E3" t="inlineStr">
        <is>
          <t>GÖTEBORG</t>
        </is>
      </c>
      <c r="G3" t="n">
        <v>0.9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Entita
Korallticka
Revlummer</t>
        </is>
      </c>
      <c r="S3">
        <f>HYPERLINK("https://klasma.github.io/Logging_1480/artfynd/A 58801-2020 artfynd.xlsx", "A 58801-2020")</f>
        <v/>
      </c>
      <c r="T3">
        <f>HYPERLINK("https://klasma.github.io/Logging_1480/kartor/A 58801-2020 karta.png", "A 58801-2020")</f>
        <v/>
      </c>
      <c r="V3">
        <f>HYPERLINK("https://klasma.github.io/Logging_1480/klagomål/A 58801-2020 FSC-klagomål.docx", "A 58801-2020")</f>
        <v/>
      </c>
      <c r="W3">
        <f>HYPERLINK("https://klasma.github.io/Logging_1480/klagomålsmail/A 58801-2020 FSC-klagomål mail.docx", "A 58801-2020")</f>
        <v/>
      </c>
      <c r="X3">
        <f>HYPERLINK("https://klasma.github.io/Logging_1480/tillsyn/A 58801-2020 tillsynsbegäran.docx", "A 58801-2020")</f>
        <v/>
      </c>
      <c r="Y3">
        <f>HYPERLINK("https://klasma.github.io/Logging_1480/tillsynsmail/A 58801-2020 tillsynsbegäran mail.docx", "A 58801-2020")</f>
        <v/>
      </c>
      <c r="Z3">
        <f>HYPERLINK("https://klasma.github.io/Logging_1480/fåglar/A 58801-2020 prioriterade fågelarter.docx", "A 58801-2020")</f>
        <v/>
      </c>
    </row>
    <row r="4" ht="15" customHeight="1">
      <c r="A4" t="inlineStr">
        <is>
          <t>A 58804-2020</t>
        </is>
      </c>
      <c r="B4" s="1" t="n">
        <v>44146</v>
      </c>
      <c r="C4" s="1" t="n">
        <v>45364</v>
      </c>
      <c r="D4" t="inlineStr">
        <is>
          <t>VÄSTRA GÖTALANDS LÄN</t>
        </is>
      </c>
      <c r="E4" t="inlineStr">
        <is>
          <t>GÖTEBORG</t>
        </is>
      </c>
      <c r="G4" t="n">
        <v>0.8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Vanlig groda</t>
        </is>
      </c>
      <c r="S4">
        <f>HYPERLINK("https://klasma.github.io/Logging_1480/artfynd/A 58804-2020 artfynd.xlsx", "A 58804-2020")</f>
        <v/>
      </c>
      <c r="T4">
        <f>HYPERLINK("https://klasma.github.io/Logging_1480/kartor/A 58804-2020 karta.png", "A 58804-2020")</f>
        <v/>
      </c>
      <c r="V4">
        <f>HYPERLINK("https://klasma.github.io/Logging_1480/klagomål/A 58804-2020 FSC-klagomål.docx", "A 58804-2020")</f>
        <v/>
      </c>
      <c r="W4">
        <f>HYPERLINK("https://klasma.github.io/Logging_1480/klagomålsmail/A 58804-2020 FSC-klagomål mail.docx", "A 58804-2020")</f>
        <v/>
      </c>
      <c r="X4">
        <f>HYPERLINK("https://klasma.github.io/Logging_1480/tillsyn/A 58804-2020 tillsynsbegäran.docx", "A 58804-2020")</f>
        <v/>
      </c>
      <c r="Y4">
        <f>HYPERLINK("https://klasma.github.io/Logging_1480/tillsynsmail/A 58804-2020 tillsynsbegäran mail.docx", "A 58804-2020")</f>
        <v/>
      </c>
    </row>
    <row r="5" ht="15" customHeight="1">
      <c r="A5" t="inlineStr">
        <is>
          <t>A 63435-2019</t>
        </is>
      </c>
      <c r="B5" s="1" t="n">
        <v>43794</v>
      </c>
      <c r="C5" s="1" t="n">
        <v>45364</v>
      </c>
      <c r="D5" t="inlineStr">
        <is>
          <t>VÄSTRA GÖTALANDS LÄN</t>
        </is>
      </c>
      <c r="E5" t="inlineStr">
        <is>
          <t>GÖTEBORG</t>
        </is>
      </c>
      <c r="G5" t="n">
        <v>5.9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Sotriska</t>
        </is>
      </c>
      <c r="S5">
        <f>HYPERLINK("https://klasma.github.io/Logging_1480/artfynd/A 63435-2019 artfynd.xlsx", "A 63435-2019")</f>
        <v/>
      </c>
      <c r="T5">
        <f>HYPERLINK("https://klasma.github.io/Logging_1480/kartor/A 63435-2019 karta.png", "A 63435-2019")</f>
        <v/>
      </c>
      <c r="V5">
        <f>HYPERLINK("https://klasma.github.io/Logging_1480/klagomål/A 63435-2019 FSC-klagomål.docx", "A 63435-2019")</f>
        <v/>
      </c>
      <c r="W5">
        <f>HYPERLINK("https://klasma.github.io/Logging_1480/klagomålsmail/A 63435-2019 FSC-klagomål mail.docx", "A 63435-2019")</f>
        <v/>
      </c>
      <c r="X5">
        <f>HYPERLINK("https://klasma.github.io/Logging_1480/tillsyn/A 63435-2019 tillsynsbegäran.docx", "A 63435-2019")</f>
        <v/>
      </c>
      <c r="Y5">
        <f>HYPERLINK("https://klasma.github.io/Logging_1480/tillsynsmail/A 63435-2019 tillsynsbegäran mail.docx", "A 63435-2019")</f>
        <v/>
      </c>
    </row>
    <row r="6" ht="15" customHeight="1">
      <c r="A6" t="inlineStr">
        <is>
          <t>A 27922-2023</t>
        </is>
      </c>
      <c r="B6" s="1" t="n">
        <v>45098</v>
      </c>
      <c r="C6" s="1" t="n">
        <v>45364</v>
      </c>
      <c r="D6" t="inlineStr">
        <is>
          <t>VÄSTRA GÖTALANDS LÄN</t>
        </is>
      </c>
      <c r="E6" t="inlineStr">
        <is>
          <t>GÖTEBORG</t>
        </is>
      </c>
      <c r="G6" t="n">
        <v>6.8</v>
      </c>
      <c r="H6" t="n">
        <v>0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Gräddticka</t>
        </is>
      </c>
      <c r="S6">
        <f>HYPERLINK("https://klasma.github.io/Logging_1480/artfynd/A 27922-2023 artfynd.xlsx", "A 27922-2023")</f>
        <v/>
      </c>
      <c r="T6">
        <f>HYPERLINK("https://klasma.github.io/Logging_1480/kartor/A 27922-2023 karta.png", "A 27922-2023")</f>
        <v/>
      </c>
      <c r="V6">
        <f>HYPERLINK("https://klasma.github.io/Logging_1480/klagomål/A 27922-2023 FSC-klagomål.docx", "A 27922-2023")</f>
        <v/>
      </c>
      <c r="W6">
        <f>HYPERLINK("https://klasma.github.io/Logging_1480/klagomålsmail/A 27922-2023 FSC-klagomål mail.docx", "A 27922-2023")</f>
        <v/>
      </c>
      <c r="X6">
        <f>HYPERLINK("https://klasma.github.io/Logging_1480/tillsyn/A 27922-2023 tillsynsbegäran.docx", "A 27922-2023")</f>
        <v/>
      </c>
      <c r="Y6">
        <f>HYPERLINK("https://klasma.github.io/Logging_1480/tillsynsmail/A 27922-2023 tillsynsbegäran mail.docx", "A 27922-2023")</f>
        <v/>
      </c>
    </row>
    <row r="7" ht="15" customHeight="1">
      <c r="A7" t="inlineStr">
        <is>
          <t>A 8135-2019</t>
        </is>
      </c>
      <c r="B7" s="1" t="n">
        <v>43501</v>
      </c>
      <c r="C7" s="1" t="n">
        <v>45364</v>
      </c>
      <c r="D7" t="inlineStr">
        <is>
          <t>VÄSTRA GÖTALANDS LÄN</t>
        </is>
      </c>
      <c r="E7" t="inlineStr">
        <is>
          <t>GÖTEBORG</t>
        </is>
      </c>
      <c r="G7" t="n">
        <v>13.7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15847-2020</t>
        </is>
      </c>
      <c r="B8" s="1" t="n">
        <v>43915</v>
      </c>
      <c r="C8" s="1" t="n">
        <v>45364</v>
      </c>
      <c r="D8" t="inlineStr">
        <is>
          <t>VÄSTRA GÖTALANDS LÄN</t>
        </is>
      </c>
      <c r="E8" t="inlineStr">
        <is>
          <t>GÖTEBORG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19066-2020</t>
        </is>
      </c>
      <c r="B9" s="1" t="n">
        <v>43936</v>
      </c>
      <c r="C9" s="1" t="n">
        <v>45364</v>
      </c>
      <c r="D9" t="inlineStr">
        <is>
          <t>VÄSTRA GÖTALANDS LÄN</t>
        </is>
      </c>
      <c r="E9" t="inlineStr">
        <is>
          <t>GÖTEBORG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19436-2020</t>
        </is>
      </c>
      <c r="B10" s="1" t="n">
        <v>43938</v>
      </c>
      <c r="C10" s="1" t="n">
        <v>45364</v>
      </c>
      <c r="D10" t="inlineStr">
        <is>
          <t>VÄSTRA GÖTALANDS LÄN</t>
        </is>
      </c>
      <c r="E10" t="inlineStr">
        <is>
          <t>GÖTEBORG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59045-2020</t>
        </is>
      </c>
      <c r="B11" s="1" t="n">
        <v>44147</v>
      </c>
      <c r="C11" s="1" t="n">
        <v>45364</v>
      </c>
      <c r="D11" t="inlineStr">
        <is>
          <t>VÄSTRA GÖTALANDS LÄN</t>
        </is>
      </c>
      <c r="E11" t="inlineStr">
        <is>
          <t>GÖTEBORG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14271-2021</t>
        </is>
      </c>
      <c r="B12" s="1" t="n">
        <v>44278</v>
      </c>
      <c r="C12" s="1" t="n">
        <v>45364</v>
      </c>
      <c r="D12" t="inlineStr">
        <is>
          <t>VÄSTRA GÖTALANDS LÄN</t>
        </is>
      </c>
      <c r="E12" t="inlineStr">
        <is>
          <t>GÖTEBORG</t>
        </is>
      </c>
      <c r="G12" t="n">
        <v>6.7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16663-2021</t>
        </is>
      </c>
      <c r="B13" s="1" t="n">
        <v>44294</v>
      </c>
      <c r="C13" s="1" t="n">
        <v>45364</v>
      </c>
      <c r="D13" t="inlineStr">
        <is>
          <t>VÄSTRA GÖTALANDS LÄN</t>
        </is>
      </c>
      <c r="E13" t="inlineStr">
        <is>
          <t>GÖTEBORG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33749-2021</t>
        </is>
      </c>
      <c r="B14" s="1" t="n">
        <v>44378</v>
      </c>
      <c r="C14" s="1" t="n">
        <v>45364</v>
      </c>
      <c r="D14" t="inlineStr">
        <is>
          <t>VÄSTRA GÖTALANDS LÄN</t>
        </is>
      </c>
      <c r="E14" t="inlineStr">
        <is>
          <t>GÖTEBORG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37067-2021</t>
        </is>
      </c>
      <c r="B15" s="1" t="n">
        <v>44394</v>
      </c>
      <c r="C15" s="1" t="n">
        <v>45364</v>
      </c>
      <c r="D15" t="inlineStr">
        <is>
          <t>VÄSTRA GÖTALANDS LÄN</t>
        </is>
      </c>
      <c r="E15" t="inlineStr">
        <is>
          <t>GÖTEBORG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62884-2021</t>
        </is>
      </c>
      <c r="B16" s="1" t="n">
        <v>44504</v>
      </c>
      <c r="C16" s="1" t="n">
        <v>45364</v>
      </c>
      <c r="D16" t="inlineStr">
        <is>
          <t>VÄSTRA GÖTALANDS LÄN</t>
        </is>
      </c>
      <c r="E16" t="inlineStr">
        <is>
          <t>GÖTEBORG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10390-2022</t>
        </is>
      </c>
      <c r="B17" s="1" t="n">
        <v>44623</v>
      </c>
      <c r="C17" s="1" t="n">
        <v>45364</v>
      </c>
      <c r="D17" t="inlineStr">
        <is>
          <t>VÄSTRA GÖTALANDS LÄN</t>
        </is>
      </c>
      <c r="E17" t="inlineStr">
        <is>
          <t>GÖTEBORG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37011-2022</t>
        </is>
      </c>
      <c r="B18" s="1" t="n">
        <v>44806</v>
      </c>
      <c r="C18" s="1" t="n">
        <v>45364</v>
      </c>
      <c r="D18" t="inlineStr">
        <is>
          <t>VÄSTRA GÖTALANDS LÄN</t>
        </is>
      </c>
      <c r="E18" t="inlineStr">
        <is>
          <t>GÖTEBORG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25015-2023</t>
        </is>
      </c>
      <c r="B19" s="1" t="n">
        <v>45085</v>
      </c>
      <c r="C19" s="1" t="n">
        <v>45364</v>
      </c>
      <c r="D19" t="inlineStr">
        <is>
          <t>VÄSTRA GÖTALANDS LÄN</t>
        </is>
      </c>
      <c r="E19" t="inlineStr">
        <is>
          <t>GÖTEBORG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>
      <c r="A20" t="inlineStr">
        <is>
          <t>A 44065-2023</t>
        </is>
      </c>
      <c r="B20" s="1" t="n">
        <v>45188</v>
      </c>
      <c r="C20" s="1" t="n">
        <v>45364</v>
      </c>
      <c r="D20" t="inlineStr">
        <is>
          <t>VÄSTRA GÖTALANDS LÄN</t>
        </is>
      </c>
      <c r="E20" t="inlineStr">
        <is>
          <t>GÖTEBORG</t>
        </is>
      </c>
      <c r="G20" t="n">
        <v>6.8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2024-03-13T13:56:02Z</dcterms:created>
  <dcterms:modified xmlns:dcterms="http://purl.org/dc/terms/" xmlns:xsi="http://www.w3.org/2001/XMLSchema-instance" xsi:type="dcterms:W3CDTF">2024-03-13T13:56:02Z</dcterms:modified>
</cp:coreProperties>
</file>