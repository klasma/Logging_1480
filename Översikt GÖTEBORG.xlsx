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45972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58804-2020</t>
        </is>
      </c>
      <c r="B3" s="1" t="n">
        <v>44146</v>
      </c>
      <c r="C3" s="1" t="n">
        <v>45972</v>
      </c>
      <c r="D3" t="inlineStr">
        <is>
          <t>VÄSTRA GÖTALANDS LÄN</t>
        </is>
      </c>
      <c r="E3" t="inlineStr">
        <is>
          <t>GÖTEBORG</t>
        </is>
      </c>
      <c r="G3" t="n">
        <v>0.8</v>
      </c>
      <c r="H3" t="n">
        <v>1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Vanlig groda</t>
        </is>
      </c>
      <c r="S3">
        <f>HYPERLINK("https://klasma.github.io/Logging_1480/artfynd/A 58804-2020 artfynd.xlsx", "A 58804-2020")</f>
        <v/>
      </c>
      <c r="T3">
        <f>HYPERLINK("https://klasma.github.io/Logging_1480/kartor/A 58804-2020 karta.png", "A 58804-2020")</f>
        <v/>
      </c>
      <c r="V3">
        <f>HYPERLINK("https://klasma.github.io/Logging_1480/klagomål/A 58804-2020 FSC-klagomål.docx", "A 58804-2020")</f>
        <v/>
      </c>
      <c r="W3">
        <f>HYPERLINK("https://klasma.github.io/Logging_1480/klagomålsmail/A 58804-2020 FSC-klagomål mail.docx", "A 58804-2020")</f>
        <v/>
      </c>
      <c r="X3">
        <f>HYPERLINK("https://klasma.github.io/Logging_1480/tillsyn/A 58804-2020 tillsynsbegäran.docx", "A 58804-2020")</f>
        <v/>
      </c>
      <c r="Y3">
        <f>HYPERLINK("https://klasma.github.io/Logging_1480/tillsynsmail/A 58804-2020 tillsynsbegäran mail.docx", "A 58804-2020")</f>
        <v/>
      </c>
    </row>
    <row r="4" ht="15" customHeight="1">
      <c r="A4" t="inlineStr">
        <is>
          <t>A 37011-2022</t>
        </is>
      </c>
      <c r="B4" s="1" t="n">
        <v>44806</v>
      </c>
      <c r="C4" s="1" t="n">
        <v>45972</v>
      </c>
      <c r="D4" t="inlineStr">
        <is>
          <t>VÄSTRA GÖTALANDS LÄN</t>
        </is>
      </c>
      <c r="E4" t="inlineStr">
        <is>
          <t>GÖTEBORG</t>
        </is>
      </c>
      <c r="G4" t="n">
        <v>2.9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Hasselsnok</t>
        </is>
      </c>
      <c r="S4">
        <f>HYPERLINK("https://klasma.github.io/Logging_1480/artfynd/A 37011-2022 artfynd.xlsx", "A 37011-2022")</f>
        <v/>
      </c>
      <c r="T4">
        <f>HYPERLINK("https://klasma.github.io/Logging_1480/kartor/A 37011-2022 karta.png", "A 37011-2022")</f>
        <v/>
      </c>
      <c r="V4">
        <f>HYPERLINK("https://klasma.github.io/Logging_1480/klagomål/A 37011-2022 FSC-klagomål.docx", "A 37011-2022")</f>
        <v/>
      </c>
      <c r="W4">
        <f>HYPERLINK("https://klasma.github.io/Logging_1480/klagomålsmail/A 37011-2022 FSC-klagomål mail.docx", "A 37011-2022")</f>
        <v/>
      </c>
      <c r="X4">
        <f>HYPERLINK("https://klasma.github.io/Logging_1480/tillsyn/A 37011-2022 tillsynsbegäran.docx", "A 37011-2022")</f>
        <v/>
      </c>
      <c r="Y4">
        <f>HYPERLINK("https://klasma.github.io/Logging_1480/tillsynsmail/A 37011-2022 tillsynsbegäran mail.docx", "A 37011-2022")</f>
        <v/>
      </c>
    </row>
    <row r="5" ht="15" customHeight="1">
      <c r="A5" t="inlineStr">
        <is>
          <t>A 10390-2022</t>
        </is>
      </c>
      <c r="B5" s="1" t="n">
        <v>44623</v>
      </c>
      <c r="C5" s="1" t="n">
        <v>45972</v>
      </c>
      <c r="D5" t="inlineStr">
        <is>
          <t>VÄSTRA GÖTALANDS LÄN</t>
        </is>
      </c>
      <c r="E5" t="inlineStr">
        <is>
          <t>GÖTEBORG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33749-2021</t>
        </is>
      </c>
      <c r="B6" s="1" t="n">
        <v>44378</v>
      </c>
      <c r="C6" s="1" t="n">
        <v>45972</v>
      </c>
      <c r="D6" t="inlineStr">
        <is>
          <t>VÄSTRA GÖTALANDS LÄN</t>
        </is>
      </c>
      <c r="E6" t="inlineStr">
        <is>
          <t>GÖTEBORG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59045-2020</t>
        </is>
      </c>
      <c r="B7" s="1" t="n">
        <v>44147</v>
      </c>
      <c r="C7" s="1" t="n">
        <v>45972</v>
      </c>
      <c r="D7" t="inlineStr">
        <is>
          <t>VÄSTRA GÖTALANDS LÄN</t>
        </is>
      </c>
      <c r="E7" t="inlineStr">
        <is>
          <t>GÖTEBORG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16663-2021</t>
        </is>
      </c>
      <c r="B8" s="1" t="n">
        <v>44294</v>
      </c>
      <c r="C8" s="1" t="n">
        <v>45972</v>
      </c>
      <c r="D8" t="inlineStr">
        <is>
          <t>VÄSTRA GÖTALANDS LÄN</t>
        </is>
      </c>
      <c r="E8" t="inlineStr">
        <is>
          <t>GÖTEBORG</t>
        </is>
      </c>
      <c r="G8" t="n">
        <v>0.3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19922-2025</t>
        </is>
      </c>
      <c r="B9" s="1" t="n">
        <v>45771.63034722222</v>
      </c>
      <c r="C9" s="1" t="n">
        <v>45972</v>
      </c>
      <c r="D9" t="inlineStr">
        <is>
          <t>VÄSTRA GÖTALANDS LÄN</t>
        </is>
      </c>
      <c r="E9" t="inlineStr">
        <is>
          <t>GÖTEBORG</t>
        </is>
      </c>
      <c r="G9" t="n">
        <v>10.1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45972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45972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25634-2025</t>
        </is>
      </c>
      <c r="B12" s="1" t="n">
        <v>45803.59570601852</v>
      </c>
      <c r="C12" s="1" t="n">
        <v>45972</v>
      </c>
      <c r="D12" t="inlineStr">
        <is>
          <t>VÄSTRA GÖTALANDS LÄN</t>
        </is>
      </c>
      <c r="E12" t="inlineStr">
        <is>
          <t>GÖTEBORG</t>
        </is>
      </c>
      <c r="G12" t="n">
        <v>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28266-2025</t>
        </is>
      </c>
      <c r="B13" s="1" t="n">
        <v>45818.56381944445</v>
      </c>
      <c r="C13" s="1" t="n">
        <v>45972</v>
      </c>
      <c r="D13" t="inlineStr">
        <is>
          <t>VÄSTRA GÖTALANDS LÄN</t>
        </is>
      </c>
      <c r="E13" t="inlineStr">
        <is>
          <t>GÖTEBORG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45972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2025-11-11T10:09:20Z</dcterms:created>
  <dcterms:modified xmlns:dcterms="http://purl.org/dc/terms/" xmlns:xsi="http://www.w3.org/2001/XMLSchema-instance" xsi:type="dcterms:W3CDTF">2025-11-11T10:09:20Z</dcterms:modified>
</cp:coreProperties>
</file>